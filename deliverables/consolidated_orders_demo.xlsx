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2195d5197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34eb952a3104206"/>
    <x:sheet xmlns:r="http://schemas.openxmlformats.org/officeDocument/2006/relationships" name="Cleaned Orders" sheetId="2" r:id="Ra6f76a6696264e7b"/>
    <x:sheet xmlns:r="http://schemas.openxmlformats.org/officeDocument/2006/relationships" name="Exceptions" sheetId="3" r:id="Rc70289f9e95547b7"/>
    <x:sheet xmlns:r="http://schemas.openxmlformats.org/officeDocument/2006/relationships" name="Run Notes" sheetId="4" r:id="R2dfb9bbf97c04f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¥#,##0.00"/>
    <x:numFmt numFmtId="202" formatCode="yyyy-mm-dd"/>
    <x:numFmt numFmtId="203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  <x:font>
      <x:b/>
      <x:sz val="11"/>
      <x:color rgb="FF1F2937"/>
      <x:name val="Carlito"/>
    </x:font>
    <x:font>
      <x:sz val="11"/>
      <x:color rgb="FF7A4E00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2E6F95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  <x:fill>
      <x:patternFill patternType="solid">
        <x:fgColor rgb="FF7F1D1D"/>
      </x:patternFill>
    </x:fill>
    <x:fill>
      <x:patternFill patternType="solid">
        <x:fgColor rgb="FFB91C1C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e745d0b3941c4" /><Relationship Type="http://schemas.openxmlformats.org/officeDocument/2006/relationships/theme" Target="/xl/theme/theme1.xml" Id="R0badff54095f43a5" /><Relationship Type="http://schemas.openxmlformats.org/officeDocument/2006/relationships/sharedStrings" Target="/xl/sharedStrings.xml" Id="R5379aae5dafd4eb5" /><Relationship Type="http://schemas.openxmlformats.org/officeDocument/2006/relationships/worksheet" Target="/xl/worksheets/sheet1.xml" Id="Re34eb952a3104206" /><Relationship Type="http://schemas.openxmlformats.org/officeDocument/2006/relationships/worksheet" Target="/xl/worksheets/sheet2.xml" Id="Ra6f76a6696264e7b" /><Relationship Type="http://schemas.openxmlformats.org/officeDocument/2006/relationships/worksheet" Target="/xl/worksheets/sheet3.xml" Id="Rc70289f9e95547b7" /><Relationship Type="http://schemas.openxmlformats.org/officeDocument/2006/relationships/worksheet" Target="/xl/worksheets/sheet4.xml" Id="R2dfb9bbf97c04f63" /></Relationships>
</file>

<file path=xl/tables/table1.xml><?xml version="1.0" encoding="utf-8"?>
<x:table xmlns:x="http://schemas.openxmlformats.org/spreadsheetml/2006/main" id="1" name="CleanedOrdersTable" displayName="CleanedOrdersTable" ref="A4:L8" headerRowCount="1" totalsRowCount="0" totalsRowShown="0">
  <x:tableColumns count="12">
    <x:tableColumn id="1" name="Order ID"/>
    <x:tableColumn id="2" name="Customer ID"/>
    <x:tableColumn id="3" name="Customer Name"/>
    <x:tableColumn id="4" name="Region"/>
    <x:tableColumn id="5" name="Order Date"/>
    <x:tableColumn id="6" name="Product"/>
    <x:tableColumn id="7" name="Quantity"/>
    <x:tableColumn id="8" name="Unit Price"/>
    <x:tableColumn id="9" name="Discount"/>
    <x:tableColumn id="10" name="Net Amount"/>
    <x:tableColumn id="11" name="Status"/>
    <x:tableColumn id="12" name="Source 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eptionsTable" displayName="ExceptionsTable" ref="A4:G10" headerRowCount="1" totalsRowCount="0" totalsRowShown="0">
  <x:tableColumns count="7">
    <x:tableColumn id="1" name="Source File"/>
    <x:tableColumn id="2" name="Source Row"/>
    <x:tableColumn id="3" name="Order ID"/>
    <x:tableColumn id="4" name="Error Field"/>
    <x:tableColumn id="5" name="Error Type"/>
    <x:tableColumn id="6" name="Reason"/>
    <x:tableColumn id="7" name="Raw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14abc1d7ea46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409d164e7e45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Excel / CSV 批量清洗与对账 Demo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6" t="str">
        <x:v>指标</x:v>
      </x:c>
      <x:c r="B4" s="6" t="str">
        <x:v>结果</x:v>
      </x:c>
    </x:row>
    <x:row r="5">
      <x:c r="A5" s="8" t="str">
        <x:v>输入订单</x:v>
      </x:c>
      <x:c r="B5" s="10" t="n">
        <x:v>10</x:v>
      </x:c>
    </x:row>
    <x:row r="6">
      <x:c r="A6" s="8" t="str">
        <x:v>有效订单</x:v>
      </x:c>
      <x:c r="B6" s="10" t="n">
        <x:f>COUNTA('Cleaned Orders'!A5:A1000)</x:f>
        <x:v>4</x:v>
      </x:c>
    </x:row>
    <x:row r="7">
      <x:c r="A7" s="8" t="str">
        <x:v>异常订单</x:v>
      </x:c>
      <x:c r="B7" s="10" t="n">
        <x:f>COUNTA('Exceptions'!A5:A1000)</x:f>
        <x:v>6</x:v>
      </x:c>
    </x:row>
    <x:row r="8">
      <x:c r="A8" s="8" t="str">
        <x:v>其中重复</x:v>
      </x:c>
      <x:c r="B8" s="10" t="n">
        <x:v>1</x:v>
      </x:c>
    </x:row>
    <x:row r="9">
      <x:c r="A9" s="8" t="str">
        <x:v>有效订单净额</x:v>
      </x:c>
      <x:c r="B9" s="11" t="n">
        <x:f>SUM('Cleaned Orders'!J5:J1000)</x:f>
        <x:v>1338</x:v>
      </x:c>
    </x:row>
    <x:row r="10">
      <x:c r="A10" s="8" t="str">
        <x:v>闭环差额</x:v>
      </x:c>
      <x:c r="B10" s="10" t="n">
        <x:f>B5-B6-B7</x:f>
        <x:v>0</x:v>
      </x:c>
    </x:row>
    <x:row r="12">
      <x:c r="A12" s="15" t="str">
        <x:v>验收条件：输入行数 = 有效行数 + 异常行数；闭环差额必须为 0。异常记录保留来源文件、原行号、错误字段和原因。</x:v>
      </x:c>
      <x:c r="B12" s="15"/>
      <x:c r="C12" s="15"/>
      <x:c r="D12" s="15"/>
      <x:c r="E12" s="15"/>
      <x:c r="F12" s="15"/>
    </x:row>
    <x:row r="13">
      <x:c r="A13" s="15"/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</x:sheetData>
  <x:mergeCells>
    <x:mergeCell ref="A1:F2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4" hidden="0" customWidth="1"/>
  </x:cols>
  <x:sheetData>
    <x:row r="1">
      <x:c r="A1" s="18" t="str">
        <x:v>Cleaned Orders｜标准化结果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4">
      <x:c r="A4" s="19" t="str">
        <x:v>Order ID</x:v>
      </x:c>
      <x:c r="B4" s="19" t="str">
        <x:v>Customer ID</x:v>
      </x:c>
      <x:c r="C4" s="19" t="str">
        <x:v>Customer Name</x:v>
      </x:c>
      <x:c r="D4" s="19" t="str">
        <x:v>Region</x:v>
      </x:c>
      <x:c r="E4" s="19" t="str">
        <x:v>Order Date</x:v>
      </x:c>
      <x:c r="F4" s="19" t="str">
        <x:v>Product</x:v>
      </x:c>
      <x:c r="G4" s="19" t="str">
        <x:v>Quantity</x:v>
      </x:c>
      <x:c r="H4" s="19" t="str">
        <x:v>Unit Price</x:v>
      </x:c>
      <x:c r="I4" s="19" t="str">
        <x:v>Discount</x:v>
      </x:c>
      <x:c r="J4" s="19" t="str">
        <x:v>Net Amount</x:v>
      </x:c>
      <x:c r="K4" s="19" t="str">
        <x:v>Status</x:v>
      </x:c>
      <x:c r="L4" s="19" t="str">
        <x:v>Source File</x:v>
      </x:c>
    </x:row>
    <x:row r="5">
      <x:c r="A5" t="str">
        <x:v>O-1001</x:v>
      </x:c>
      <x:c r="B5" t="str">
        <x:v>C-001</x:v>
      </x:c>
      <x:c r="C5" t="str">
        <x:v>华东零售</x:v>
      </x:c>
      <x:c r="D5" t="str">
        <x:v>上海</x:v>
      </x:c>
      <x:c r="E5" s="20" t="str">
        <x:v>2026-01-03</x:v>
      </x:c>
      <x:c r="F5" t="str">
        <x:v>Widget A</x:v>
      </x:c>
      <x:c r="G5" s="21" t="n">
        <x:v>2</x:v>
      </x:c>
      <x:c r="H5" s="22" t="n">
        <x:v>120</x:v>
      </x:c>
      <x:c r="I5" s="23" t="n">
        <x:v>0.05</x:v>
      </x:c>
      <x:c r="J5" s="22" t="n">
        <x:f>G5*H5*(1-I5)</x:f>
        <x:v>228</x:v>
      </x:c>
      <x:c r="K5" t="str">
        <x:v>Paid</x:v>
      </x:c>
      <x:c r="L5" t="str">
        <x:v>orders_january.csv</x:v>
      </x:c>
    </x:row>
    <x:row r="6">
      <x:c r="A6" t="str">
        <x:v>O-1002</x:v>
      </x:c>
      <x:c r="B6" t="str">
        <x:v>C-002</x:v>
      </x:c>
      <x:c r="C6" t="str">
        <x:v>北方工业</x:v>
      </x:c>
      <x:c r="D6" t="str">
        <x:v>北京</x:v>
      </x:c>
      <x:c r="E6" s="20" t="str">
        <x:v>2026-01-04</x:v>
      </x:c>
      <x:c r="F6" t="str">
        <x:v>Widget B</x:v>
      </x:c>
      <x:c r="G6" s="21" t="n">
        <x:v>1</x:v>
      </x:c>
      <x:c r="H6" s="22" t="n">
        <x:v>250</x:v>
      </x:c>
      <x:c r="I6" s="23" t="n">
        <x:v>0</x:v>
      </x:c>
      <x:c r="J6" s="22" t="n">
        <x:f>G6*H6*(1-I6)</x:f>
        <x:v>250</x:v>
      </x:c>
      <x:c r="K6" t="str">
        <x:v>Pending</x:v>
      </x:c>
      <x:c r="L6" t="str">
        <x:v>orders_january.csv</x:v>
      </x:c>
    </x:row>
    <x:row r="7">
      <x:c r="A7" t="str">
        <x:v>O-1006</x:v>
      </x:c>
      <x:c r="B7" t="str">
        <x:v>C-004</x:v>
      </x:c>
      <x:c r="C7" t="str">
        <x:v>西部供应链</x:v>
      </x:c>
      <x:c r="D7" t="str">
        <x:v>成都</x:v>
      </x:c>
      <x:c r="E7" s="20" t="str">
        <x:v>2026-02-01</x:v>
      </x:c>
      <x:c r="F7" t="str">
        <x:v>Widget A</x:v>
      </x:c>
      <x:c r="G7" s="21" t="n">
        <x:v>5</x:v>
      </x:c>
      <x:c r="H7" s="22" t="n">
        <x:v>120</x:v>
      </x:c>
      <x:c r="I7" s="23" t="n">
        <x:v>0.1</x:v>
      </x:c>
      <x:c r="J7" s="22" t="n">
        <x:f>G7*H7*(1-I7)</x:f>
        <x:v>540</x:v>
      </x:c>
      <x:c r="K7" t="str">
        <x:v>Paid</x:v>
      </x:c>
      <x:c r="L7" t="str">
        <x:v>orders_february.csv</x:v>
      </x:c>
    </x:row>
    <x:row r="8">
      <x:c r="A8" t="str">
        <x:v>O-1007</x:v>
      </x:c>
      <x:c r="B8" t="str">
        <x:v>C-005</x:v>
      </x:c>
      <x:c r="C8" t="str">
        <x:v>湖畔商贸</x:v>
      </x:c>
      <x:c r="D8" t="str">
        <x:v>杭州</x:v>
      </x:c>
      <x:c r="E8" s="20" t="str">
        <x:v>2026-02-02</x:v>
      </x:c>
      <x:c r="F8" t="str">
        <x:v>Widget C</x:v>
      </x:c>
      <x:c r="G8" s="21" t="n">
        <x:v>4</x:v>
      </x:c>
      <x:c r="H8" s="22" t="n">
        <x:v>80</x:v>
      </x:c>
      <x:c r="I8" s="23" t="n">
        <x:v>0</x:v>
      </x:c>
      <x:c r="J8" s="22" t="n">
        <x:f>G8*H8*(1-I8)</x:f>
        <x:v>320</x:v>
      </x:c>
      <x:c r="K8" t="str">
        <x:v>Paid</x:v>
      </x:c>
      <x:c r="L8" t="str">
        <x:v>orders_february.csv</x:v>
      </x:c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6014abc1d7ea46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  <x:col min="7" max="7" width="16" hidden="0" customWidth="1"/>
  </x:cols>
  <x:sheetData>
    <x:row r="1">
      <x:c r="A1" s="27" t="str">
        <x:v>Exceptions｜异常记录</x:v>
      </x:c>
      <x:c r="B1" s="27"/>
      <x:c r="C1" s="27"/>
      <x:c r="D1" s="27"/>
      <x:c r="E1" s="27"/>
      <x:c r="F1" s="27"/>
      <x:c r="G1" s="27"/>
    </x:row>
    <x:row r="2">
      <x:c r="A2" s="27"/>
      <x:c r="B2" s="27"/>
      <x:c r="C2" s="27"/>
      <x:c r="D2" s="27"/>
      <x:c r="E2" s="27"/>
      <x:c r="F2" s="27"/>
      <x:c r="G2" s="27"/>
    </x:row>
    <x:row r="4">
      <x:c r="A4" s="30" t="str">
        <x:v>Source File</x:v>
      </x:c>
      <x:c r="B4" s="30" t="str">
        <x:v>Source Row</x:v>
      </x:c>
      <x:c r="C4" s="30" t="str">
        <x:v>Order ID</x:v>
      </x:c>
      <x:c r="D4" s="30" t="str">
        <x:v>Error Field</x:v>
      </x:c>
      <x:c r="E4" s="30" t="str">
        <x:v>Error Type</x:v>
      </x:c>
      <x:c r="F4" s="30" t="str">
        <x:v>Reason</x:v>
      </x:c>
      <x:c r="G4" s="30" t="str">
        <x:v>Raw Value</x:v>
      </x:c>
    </x:row>
    <x:row r="5">
      <x:c r="A5" t="str">
        <x:v>orders_january.csv</x:v>
      </x:c>
      <x:c r="B5" t="n">
        <x:v>4</x:v>
      </x:c>
      <x:c r="C5" t="str">
        <x:v>O-1003</x:v>
      </x:c>
      <x:c r="D5" t="str">
        <x:v>customer_id</x:v>
      </x:c>
      <x:c r="E5" t="str">
        <x:v>Lookup</x:v>
      </x:c>
      <x:c r="F5" t="str">
        <x:v>客户编号无法在客户主数据中匹配</x:v>
      </x:c>
      <x:c r="G5" t="str">
        <x:v>C-999</x:v>
      </x:c>
    </x:row>
    <x:row r="6">
      <x:c r="A6" t="str">
        <x:v>orders_january.csv</x:v>
      </x:c>
      <x:c r="B6" t="n">
        <x:v>5</x:v>
      </x:c>
      <x:c r="C6" t="str">
        <x:v>O-1004</x:v>
      </x:c>
      <x:c r="D6" t="str">
        <x:v>customer_id</x:v>
      </x:c>
      <x:c r="E6" t="str">
        <x:v>Required</x:v>
      </x:c>
      <x:c r="F6" t="str">
        <x:v>客户编号不能为空</x:v>
      </x:c>
      <x:c r="G6" t="str"/>
    </x:row>
    <x:row r="7">
      <x:c r="A7" t="str">
        <x:v>orders_january.csv</x:v>
      </x:c>
      <x:c r="B7" t="n">
        <x:v>6</x:v>
      </x:c>
      <x:c r="C7" t="str">
        <x:v>O-1005</x:v>
      </x:c>
      <x:c r="D7" t="str">
        <x:v>order_date</x:v>
      </x:c>
      <x:c r="E7" t="str">
        <x:v>Date</x:v>
      </x:c>
      <x:c r="F7" t="str">
        <x:v>日期无法按 YYYY-MM-DD 或 YYYY/MM/DD 解析</x:v>
      </x:c>
      <x:c r="G7" t="str">
        <x:v>bad-date</x:v>
      </x:c>
    </x:row>
    <x:row r="8">
      <x:c r="A8" t="str">
        <x:v>orders_february.csv</x:v>
      </x:c>
      <x:c r="B8" t="n">
        <x:v>2</x:v>
      </x:c>
      <x:c r="C8" t="str">
        <x:v>O-1002</x:v>
      </x:c>
      <x:c r="D8" t="str">
        <x:v>order_id</x:v>
      </x:c>
      <x:c r="E8" t="str">
        <x:v>Duplicate</x:v>
      </x:c>
      <x:c r="F8" t="str">
        <x:v>订单编号已在较早输入记录中出现</x:v>
      </x:c>
      <x:c r="G8" t="str">
        <x:v>O-1002</x:v>
      </x:c>
    </x:row>
    <x:row r="9">
      <x:c r="A9" t="str">
        <x:v>orders_february.csv</x:v>
      </x:c>
      <x:c r="B9" t="n">
        <x:v>5</x:v>
      </x:c>
      <x:c r="C9" t="str">
        <x:v>O-1008</x:v>
      </x:c>
      <x:c r="D9" t="str">
        <x:v>quantity</x:v>
      </x:c>
      <x:c r="E9" t="str">
        <x:v>Range</x:v>
      </x:c>
      <x:c r="F9" t="str">
        <x:v>数量必须为大于 0 的数字</x:v>
      </x:c>
      <x:c r="G9" t="str">
        <x:v>-1</x:v>
      </x:c>
    </x:row>
    <x:row r="10">
      <x:c r="A10" t="str">
        <x:v>orders_february.csv</x:v>
      </x:c>
      <x:c r="B10" t="n">
        <x:v>6</x:v>
      </x:c>
      <x:c r="C10" t="str">
        <x:v>O-1009</x:v>
      </x:c>
      <x:c r="D10" t="str">
        <x:v>discount</x:v>
      </x:c>
      <x:c r="E10" t="str">
        <x:v>Range</x:v>
      </x:c>
      <x:c r="F10" t="str">
        <x:v>折扣必须在 0–1 之间</x:v>
      </x:c>
      <x:c r="G10" t="str">
        <x:v>1.50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08409d164e7e45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>
      <x:c r="A1" s="18" t="str">
        <x:v>Run Notes｜运行说明与规则版本</x:v>
      </x:c>
      <x:c r="B1" s="18"/>
      <x:c r="C1" s="18"/>
      <x:c r="D1" s="18"/>
    </x:row>
    <x:row r="2">
      <x:c r="A2" s="18"/>
      <x:c r="B2" s="18"/>
      <x:c r="C2" s="18"/>
      <x:c r="D2" s="18"/>
    </x:row>
    <x:row r="4">
      <x:c r="A4" s="6" t="str">
        <x:v>字段</x:v>
      </x:c>
      <x:c r="B4" s="6" t="str">
        <x:v>内容</x:v>
      </x:c>
    </x:row>
    <x:row r="5">
      <x:c r="A5" s="8" t="str">
        <x:v>规则版本</x:v>
      </x:c>
      <x:c r="B5" t="str">
        <x:v>demo-v1.0</x:v>
      </x:c>
    </x:row>
    <x:row r="6">
      <x:c r="A6" s="8" t="str">
        <x:v>订单输入</x:v>
      </x:c>
      <x:c r="B6" t="str">
        <x:v>orders_january.csv, orders_february.csv</x:v>
      </x:c>
    </x:row>
    <x:row r="7">
      <x:c r="A7" s="8" t="str">
        <x:v>客户主数据</x:v>
      </x:c>
      <x:c r="B7" t="str">
        <x:v>customers.csv</x:v>
      </x:c>
    </x:row>
    <x:row r="8">
      <x:c r="A8" s="8" t="str">
        <x:v>输入订单行数</x:v>
      </x:c>
      <x:c r="B8" t="n">
        <x:v>10</x:v>
      </x:c>
    </x:row>
    <x:row r="9">
      <x:c r="A9" s="8" t="str">
        <x:v>有效订单行数</x:v>
      </x:c>
      <x:c r="B9" t="n">
        <x:v>4</x:v>
      </x:c>
    </x:row>
    <x:row r="10">
      <x:c r="A10" s="8" t="str">
        <x:v>异常订单行数</x:v>
      </x:c>
      <x:c r="B10" t="n">
        <x:v>6</x:v>
      </x:c>
    </x:row>
    <x:row r="12">
      <x:c r="A12" s="33" t="str">
        <x:v>处理边界：仅使用脱敏样例；不覆盖原始文件；不破解密码或权限；真实项目需由客户书面确认字段映射、清洗规则和验收样本。</x:v>
      </x:c>
      <x:c r="B12" s="33"/>
      <x:c r="C12" s="33"/>
      <x:c r="D12" s="33"/>
    </x:row>
    <x:row r="13">
      <x:c r="A13" s="33"/>
      <x:c r="B13" s="33"/>
      <x:c r="C13" s="33"/>
      <x:c r="D13" s="33"/>
    </x:row>
    <x:row r="14">
      <x:c r="A14" s="33"/>
      <x:c r="B14" s="33"/>
      <x:c r="C14" s="33"/>
      <x:c r="D14" s="33"/>
    </x:row>
    <x:row r="15">
      <x:c r="A15" s="33"/>
      <x:c r="B15" s="33"/>
      <x:c r="C15" s="33"/>
      <x:c r="D15" s="33"/>
    </x:row>
    <x:row r="16">
      <x:c r="A16" s="33"/>
      <x:c r="B16" s="33"/>
      <x:c r="C16" s="33"/>
      <x:c r="D16" s="33"/>
    </x:row>
    <x:row r="17">
      <x:c r="A17" s="33"/>
      <x:c r="B17" s="33"/>
      <x:c r="C17" s="33"/>
      <x:c r="D17" s="33"/>
    </x:row>
    <x:row r="18">
      <x:c r="A18" s="33"/>
      <x:c r="B18" s="33"/>
      <x:c r="C18" s="33"/>
      <x:c r="D18" s="33"/>
    </x:row>
  </x:sheetData>
  <x:mergeCells>
    <x:mergeCell ref="A1:D2"/>
    <x:mergeCell ref="A12:D18"/>
  </x:mergeCells>
  <x:pageMargins left="0.7" right="0.7" top="0.75" bottom="0.75" header="0.3" footer="0.3"/>
</x:worksheet>
</file>